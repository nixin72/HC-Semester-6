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Dev\pdumaresq_E63_A07\"/>
    </mc:Choice>
  </mc:AlternateContent>
  <bookViews>
    <workbookView xWindow="0" yWindow="0" windowWidth="28800" windowHeight="12495"/>
  </bookViews>
  <sheets>
    <sheet name="Sheet2" sheetId="2" r:id="rId1"/>
  </sheets>
  <calcPr calcId="162913"/>
</workbook>
</file>

<file path=xl/calcChain.xml><?xml version="1.0" encoding="utf-8"?>
<calcChain xmlns="http://schemas.openxmlformats.org/spreadsheetml/2006/main">
  <c r="D18" i="2" l="1"/>
  <c r="E18" i="2"/>
  <c r="C22" i="2"/>
  <c r="C25" i="2"/>
  <c r="C29" i="2"/>
  <c r="C30" i="2"/>
  <c r="C34" i="2"/>
  <c r="C38" i="2"/>
  <c r="C39" i="2"/>
  <c r="C40" i="2"/>
  <c r="C41" i="2"/>
  <c r="C42" i="2"/>
  <c r="C43" i="2"/>
  <c r="C44" i="2"/>
  <c r="C20" i="2"/>
  <c r="I16" i="2"/>
  <c r="F16" i="2"/>
  <c r="I15" i="2"/>
  <c r="F15" i="2"/>
  <c r="I14" i="2"/>
  <c r="F14" i="2"/>
  <c r="I13" i="2"/>
  <c r="F13" i="2"/>
  <c r="I12" i="2" l="1"/>
  <c r="I11" i="2"/>
  <c r="F11" i="2"/>
  <c r="F12" i="2"/>
  <c r="I17" i="2" l="1"/>
  <c r="F17" i="2"/>
  <c r="F10" i="2" l="1"/>
  <c r="F9" i="2"/>
  <c r="I10" i="2"/>
  <c r="I9" i="2"/>
</calcChain>
</file>

<file path=xl/comments1.xml><?xml version="1.0" encoding="utf-8"?>
<comments xmlns="http://schemas.openxmlformats.org/spreadsheetml/2006/main">
  <authors>
    <author>Mark Spielman</author>
  </authors>
  <commentList>
    <comment ref="C45" authorId="0" shapeId="0">
      <text>
        <r>
          <rPr>
            <sz val="8"/>
            <color indexed="81"/>
            <rFont val="Tahoma"/>
          </rPr>
          <t>Add lines above this line for formulas to work</t>
        </r>
      </text>
    </comment>
  </commentList>
</comments>
</file>

<file path=xl/sharedStrings.xml><?xml version="1.0" encoding="utf-8"?>
<sst xmlns="http://schemas.openxmlformats.org/spreadsheetml/2006/main" count="243" uniqueCount="49">
  <si>
    <t>Component</t>
  </si>
  <si>
    <t>Test case document</t>
  </si>
  <si>
    <t>Tester</t>
  </si>
  <si>
    <t>Load version</t>
  </si>
  <si>
    <t>Date of Execution</t>
  </si>
  <si>
    <t>Result</t>
  </si>
  <si>
    <t>Comments</t>
  </si>
  <si>
    <t>Tests Not Run:</t>
  </si>
  <si>
    <t>Total Num Tests:</t>
  </si>
  <si>
    <t>Tests Blocked:</t>
  </si>
  <si>
    <t xml:space="preserve"> </t>
  </si>
  <si>
    <t>Overall Pass Rate:</t>
  </si>
  <si>
    <t>Tests Run - Pass Rate:</t>
  </si>
  <si>
    <t>Tests Run - Pass (no BLK):</t>
  </si>
  <si>
    <t>Tests Pass:</t>
  </si>
  <si>
    <t>Tests  Fail:</t>
  </si>
  <si>
    <t>Percent Executed:</t>
  </si>
  <si>
    <t>Not Run</t>
  </si>
  <si>
    <t>BLK</t>
  </si>
  <si>
    <t>PASS</t>
  </si>
  <si>
    <t>FAIL</t>
  </si>
  <si>
    <t>N/A</t>
  </si>
  <si>
    <t>Bug ID(s)</t>
  </si>
  <si>
    <t>Section Number</t>
  </si>
  <si>
    <t>Test</t>
  </si>
  <si>
    <t>FN</t>
  </si>
  <si>
    <t>Test ID</t>
  </si>
  <si>
    <t>US</t>
  </si>
  <si>
    <t>CO</t>
  </si>
  <si>
    <t>SE</t>
  </si>
  <si>
    <t>BC</t>
  </si>
  <si>
    <t>just a sample</t>
  </si>
  <si>
    <t>FN-2</t>
  </si>
  <si>
    <t>FN-4</t>
  </si>
  <si>
    <t>FN-5</t>
  </si>
  <si>
    <t>US-2</t>
  </si>
  <si>
    <t>US-3</t>
  </si>
  <si>
    <t>US-4</t>
  </si>
  <si>
    <t>CO-2</t>
  </si>
  <si>
    <t>CO-3</t>
  </si>
  <si>
    <t>CO-4</t>
  </si>
  <si>
    <t>SE-1</t>
  </si>
  <si>
    <t>SE-2</t>
  </si>
  <si>
    <t>SE-3</t>
  </si>
  <si>
    <t>Philip Dumaresq</t>
  </si>
  <si>
    <t>April 16,2018</t>
  </si>
  <si>
    <t>2.2.5.x</t>
  </si>
  <si>
    <t>2.2.x.y</t>
  </si>
  <si>
    <t>May 9,2018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</si>
</sst>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sz val="10"/>
      <name val="Arial"/>
    </font>
    <font>
      <sz val="8"/>
      <color indexed="81"/>
      <name val="Tahoma"/>
    </font>
    <font>
      <b/>
      <sz val="1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NumberForma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4" borderId="0" xfId="0" applyFill="1"/>
    <xf numFmtId="0" fontId="0" fillId="0" borderId="4" xfId="0" applyNumberForma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5" xfId="0" applyBorder="1"/>
    <xf numFmtId="0" fontId="0" fillId="3" borderId="6" xfId="0" applyNumberFormat="1" applyFill="1" applyBorder="1" applyAlignment="1">
      <alignment horizontal="center"/>
    </xf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0" borderId="9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0" xfId="0" applyNumberFormat="1" applyFill="1" applyBorder="1" applyAlignment="1">
      <alignment horizontal="right"/>
    </xf>
    <xf numFmtId="0" fontId="0" fillId="0" borderId="10" xfId="0" applyNumberFormat="1" applyBorder="1" applyAlignment="1">
      <alignment horizontal="right"/>
    </xf>
    <xf numFmtId="0" fontId="0" fillId="0" borderId="3" xfId="0" applyBorder="1"/>
    <xf numFmtId="0" fontId="3" fillId="0" borderId="7" xfId="0" applyFont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3" fillId="0" borderId="12" xfId="0" applyFont="1" applyBorder="1" applyAlignment="1">
      <alignment horizontal="center" vertical="top" wrapText="1"/>
    </xf>
    <xf numFmtId="0" fontId="3" fillId="0" borderId="13" xfId="0" applyFont="1" applyBorder="1" applyAlignment="1">
      <alignment horizontal="center" vertical="top" wrapText="1"/>
    </xf>
    <xf numFmtId="0" fontId="3" fillId="0" borderId="14" xfId="0" applyFont="1" applyBorder="1" applyAlignment="1">
      <alignment horizontal="center" vertical="top" wrapText="1"/>
    </xf>
    <xf numFmtId="0" fontId="0" fillId="3" borderId="15" xfId="0" applyFill="1" applyBorder="1" applyAlignment="1">
      <alignment horizontal="center"/>
    </xf>
    <xf numFmtId="0" fontId="0" fillId="0" borderId="16" xfId="0" applyBorder="1"/>
    <xf numFmtId="0" fontId="0" fillId="0" borderId="16" xfId="0" applyFill="1" applyBorder="1"/>
    <xf numFmtId="0" fontId="0" fillId="0" borderId="16" xfId="0" applyNumberFormat="1" applyFill="1" applyBorder="1" applyAlignment="1">
      <alignment horizontal="right"/>
    </xf>
    <xf numFmtId="0" fontId="0" fillId="0" borderId="31" xfId="0" applyFill="1" applyBorder="1"/>
    <xf numFmtId="0" fontId="0" fillId="0" borderId="27" xfId="0" applyFill="1" applyBorder="1"/>
    <xf numFmtId="0" fontId="0" fillId="0" borderId="32" xfId="0" applyFill="1" applyBorder="1"/>
    <xf numFmtId="0" fontId="0" fillId="0" borderId="24" xfId="0" applyFill="1" applyBorder="1"/>
    <xf numFmtId="0" fontId="0" fillId="0" borderId="25" xfId="0" applyFill="1" applyBorder="1"/>
    <xf numFmtId="0" fontId="0" fillId="0" borderId="37" xfId="0" applyNumberFormat="1" applyBorder="1" applyAlignment="1">
      <alignment horizontal="right"/>
    </xf>
    <xf numFmtId="0" fontId="0" fillId="0" borderId="38" xfId="0" applyNumberFormat="1" applyBorder="1" applyAlignment="1">
      <alignment horizontal="right"/>
    </xf>
    <xf numFmtId="0" fontId="0" fillId="0" borderId="39" xfId="0" applyNumberFormat="1" applyBorder="1" applyAlignment="1">
      <alignment horizontal="right"/>
    </xf>
    <xf numFmtId="0" fontId="0" fillId="0" borderId="2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0" fontId="4" fillId="0" borderId="17" xfId="0" applyNumberFormat="1" applyFont="1" applyBorder="1" applyAlignment="1">
      <alignment horizontal="center" vertical="top" wrapText="1"/>
    </xf>
    <xf numFmtId="0" fontId="4" fillId="0" borderId="18" xfId="0" applyNumberFormat="1" applyFont="1" applyBorder="1" applyAlignment="1">
      <alignment horizontal="center" vertical="top" wrapText="1"/>
    </xf>
    <xf numFmtId="0" fontId="4" fillId="0" borderId="19" xfId="0" applyNumberFormat="1" applyFont="1" applyBorder="1" applyAlignment="1">
      <alignment horizontal="center" vertical="top" wrapText="1"/>
    </xf>
    <xf numFmtId="0" fontId="0" fillId="0" borderId="20" xfId="0" applyNumberFormat="1" applyBorder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2" xfId="0" applyNumberFormat="1" applyBorder="1" applyAlignment="1">
      <alignment horizontal="center"/>
    </xf>
    <xf numFmtId="0" fontId="0" fillId="0" borderId="40" xfId="0" applyNumberFormat="1" applyBorder="1" applyAlignment="1">
      <alignment horizontal="right"/>
    </xf>
    <xf numFmtId="0" fontId="0" fillId="0" borderId="41" xfId="0" applyNumberFormat="1" applyBorder="1" applyAlignment="1">
      <alignment horizontal="right"/>
    </xf>
    <xf numFmtId="0" fontId="0" fillId="0" borderId="42" xfId="0" applyNumberFormat="1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37" xfId="0" applyNumberFormat="1" applyFill="1" applyBorder="1" applyAlignment="1">
      <alignment horizontal="right"/>
    </xf>
    <xf numFmtId="0" fontId="0" fillId="0" borderId="38" xfId="0" applyNumberFormat="1" applyFill="1" applyBorder="1" applyAlignment="1">
      <alignment horizontal="right"/>
    </xf>
    <xf numFmtId="0" fontId="0" fillId="0" borderId="39" xfId="0" applyNumberFormat="1" applyFill="1" applyBorder="1" applyAlignment="1">
      <alignment horizontal="right"/>
    </xf>
    <xf numFmtId="9" fontId="0" fillId="0" borderId="26" xfId="1" applyFont="1" applyFill="1" applyBorder="1" applyAlignment="1">
      <alignment horizontal="center"/>
    </xf>
    <xf numFmtId="9" fontId="0" fillId="0" borderId="16" xfId="1" applyFont="1" applyFill="1" applyBorder="1" applyAlignment="1">
      <alignment horizontal="center"/>
    </xf>
    <xf numFmtId="9" fontId="0" fillId="0" borderId="27" xfId="1" applyFont="1" applyFill="1" applyBorder="1" applyAlignment="1">
      <alignment horizontal="center"/>
    </xf>
    <xf numFmtId="0" fontId="0" fillId="2" borderId="37" xfId="0" applyNumberFormat="1" applyFill="1" applyBorder="1" applyAlignment="1">
      <alignment horizontal="right"/>
    </xf>
    <xf numFmtId="0" fontId="0" fillId="2" borderId="38" xfId="0" applyNumberFormat="1" applyFill="1" applyBorder="1" applyAlignment="1">
      <alignment horizontal="right"/>
    </xf>
    <xf numFmtId="0" fontId="0" fillId="2" borderId="39" xfId="0" applyNumberFormat="1" applyFill="1" applyBorder="1" applyAlignment="1">
      <alignment horizontal="right"/>
    </xf>
    <xf numFmtId="9" fontId="0" fillId="2" borderId="26" xfId="1" applyFont="1" applyFill="1" applyBorder="1" applyAlignment="1">
      <alignment horizontal="center"/>
    </xf>
    <xf numFmtId="9" fontId="0" fillId="2" borderId="16" xfId="1" applyFont="1" applyFill="1" applyBorder="1" applyAlignment="1">
      <alignment horizontal="center"/>
    </xf>
    <xf numFmtId="9" fontId="0" fillId="2" borderId="27" xfId="1" applyFont="1" applyFill="1" applyBorder="1" applyAlignment="1">
      <alignment horizontal="center"/>
    </xf>
    <xf numFmtId="0" fontId="0" fillId="4" borderId="34" xfId="0" applyNumberFormat="1" applyFill="1" applyBorder="1" applyAlignment="1">
      <alignment horizontal="right"/>
    </xf>
    <xf numFmtId="0" fontId="0" fillId="4" borderId="35" xfId="0" applyNumberFormat="1" applyFill="1" applyBorder="1" applyAlignment="1">
      <alignment horizontal="right"/>
    </xf>
    <xf numFmtId="0" fontId="0" fillId="4" borderId="36" xfId="0" applyNumberFormat="1" applyFill="1" applyBorder="1" applyAlignment="1">
      <alignment horizontal="right"/>
    </xf>
    <xf numFmtId="9" fontId="0" fillId="4" borderId="33" xfId="1" applyFont="1" applyFill="1" applyBorder="1" applyAlignment="1">
      <alignment horizontal="center"/>
    </xf>
    <xf numFmtId="9" fontId="0" fillId="4" borderId="29" xfId="1" applyFont="1" applyFill="1" applyBorder="1" applyAlignment="1">
      <alignment horizontal="center"/>
    </xf>
    <xf numFmtId="9" fontId="0" fillId="4" borderId="30" xfId="1" applyFont="1" applyFill="1" applyBorder="1" applyAlignment="1">
      <alignment horizontal="center"/>
    </xf>
    <xf numFmtId="9" fontId="0" fillId="0" borderId="26" xfId="1" applyFont="1" applyBorder="1" applyAlignment="1">
      <alignment horizontal="center"/>
    </xf>
    <xf numFmtId="9" fontId="0" fillId="0" borderId="16" xfId="1" applyFont="1" applyBorder="1" applyAlignment="1">
      <alignment horizontal="center"/>
    </xf>
    <xf numFmtId="9" fontId="0" fillId="0" borderId="27" xfId="1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6" fontId="0" fillId="0" borderId="32" xfId="0" applyNumberFormat="1" applyBorder="1" applyAlignment="1">
      <alignment horizontal="center"/>
    </xf>
    <xf numFmtId="0" fontId="0" fillId="0" borderId="34" xfId="0" applyNumberFormat="1" applyBorder="1" applyAlignment="1">
      <alignment horizontal="right"/>
    </xf>
    <xf numFmtId="0" fontId="0" fillId="0" borderId="35" xfId="0" applyNumberFormat="1" applyBorder="1" applyAlignment="1">
      <alignment horizontal="right"/>
    </xf>
    <xf numFmtId="0" fontId="0" fillId="0" borderId="36" xfId="0" applyNumberFormat="1" applyBorder="1" applyAlignment="1">
      <alignment horizontal="right"/>
    </xf>
  </cellXfs>
  <cellStyles count="2">
    <cellStyle name="Normal" xfId="0" builtinId="0"/>
    <cellStyle name="Percent" xfId="1" builtinId="5"/>
  </cellStyles>
  <dxfs count="14"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9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indexed="43"/>
        </patternFill>
      </fill>
    </dxf>
    <dxf>
      <font>
        <condense val="0"/>
        <extend val="0"/>
        <color indexed="13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O71"/>
  <sheetViews>
    <sheetView tabSelected="1" workbookViewId="0">
      <selection activeCell="P19" sqref="P19"/>
    </sheetView>
  </sheetViews>
  <sheetFormatPr defaultRowHeight="12.75" x14ac:dyDescent="0.2"/>
  <cols>
    <col min="1" max="2" width="9.140625" customWidth="1"/>
    <col min="3" max="3" width="8.7109375" style="2" bestFit="1" customWidth="1"/>
    <col min="4" max="4" width="12.85546875" style="2" customWidth="1"/>
    <col min="5" max="5" width="14.140625" style="2" customWidth="1"/>
    <col min="6" max="6" width="7.7109375" customWidth="1"/>
    <col min="7" max="7" width="8.7109375" customWidth="1"/>
    <col min="8" max="8" width="25.7109375" customWidth="1"/>
    <col min="9" max="9" width="7.7109375" customWidth="1"/>
    <col min="10" max="10" width="8.7109375" customWidth="1"/>
    <col min="11" max="11" width="25.7109375" customWidth="1"/>
  </cols>
  <sheetData>
    <row r="1" spans="1:223" x14ac:dyDescent="0.2">
      <c r="C1" s="87" t="s">
        <v>0</v>
      </c>
      <c r="D1" s="88"/>
      <c r="E1" s="89"/>
    </row>
    <row r="2" spans="1:223" x14ac:dyDescent="0.2">
      <c r="C2" s="43" t="s">
        <v>1</v>
      </c>
      <c r="D2" s="44"/>
      <c r="E2" s="45"/>
    </row>
    <row r="3" spans="1:223" ht="13.5" thickBot="1" x14ac:dyDescent="0.25">
      <c r="C3" s="55" t="s">
        <v>2</v>
      </c>
      <c r="D3" s="56"/>
      <c r="E3" s="57"/>
    </row>
    <row r="4" spans="1:223" ht="13.5" thickBot="1" x14ac:dyDescent="0.25"/>
    <row r="5" spans="1:223" x14ac:dyDescent="0.2">
      <c r="A5" s="16"/>
      <c r="B5" s="17"/>
      <c r="C5" s="87" t="s">
        <v>3</v>
      </c>
      <c r="D5" s="88"/>
      <c r="E5" s="89"/>
      <c r="F5" s="82" t="s">
        <v>46</v>
      </c>
      <c r="G5" s="83"/>
      <c r="H5" s="84"/>
      <c r="I5" s="82" t="s">
        <v>47</v>
      </c>
      <c r="J5" s="83"/>
      <c r="K5" s="84"/>
    </row>
    <row r="6" spans="1:223" x14ac:dyDescent="0.2">
      <c r="A6" s="18"/>
      <c r="B6" s="19"/>
      <c r="C6" s="43" t="s">
        <v>2</v>
      </c>
      <c r="D6" s="44"/>
      <c r="E6" s="45"/>
      <c r="F6" s="85" t="s">
        <v>44</v>
      </c>
      <c r="G6" s="47"/>
      <c r="H6" s="48"/>
      <c r="I6" s="85" t="s">
        <v>44</v>
      </c>
      <c r="J6" s="47"/>
      <c r="K6" s="48"/>
    </row>
    <row r="7" spans="1:223" ht="13.5" thickBot="1" x14ac:dyDescent="0.25">
      <c r="A7" s="28"/>
      <c r="B7" s="27"/>
      <c r="C7" s="55" t="s">
        <v>4</v>
      </c>
      <c r="D7" s="56"/>
      <c r="E7" s="57"/>
      <c r="F7" s="86" t="s">
        <v>45</v>
      </c>
      <c r="G7" s="59"/>
      <c r="H7" s="60"/>
      <c r="I7" s="86" t="s">
        <v>48</v>
      </c>
      <c r="J7" s="59"/>
      <c r="K7" s="60"/>
    </row>
    <row r="8" spans="1:223" ht="13.5" thickBot="1" x14ac:dyDescent="0.25">
      <c r="F8" s="1"/>
      <c r="G8" s="1"/>
      <c r="H8" s="1"/>
      <c r="I8" s="1"/>
      <c r="J8" s="1"/>
      <c r="K8" s="1"/>
    </row>
    <row r="9" spans="1:223" s="9" customFormat="1" x14ac:dyDescent="0.2">
      <c r="A9" s="20"/>
      <c r="B9" s="21"/>
      <c r="C9" s="73" t="s">
        <v>11</v>
      </c>
      <c r="D9" s="74"/>
      <c r="E9" s="75"/>
      <c r="F9" s="76">
        <f>IF(F17=0, 0, F13/F17)</f>
        <v>0</v>
      </c>
      <c r="G9" s="77"/>
      <c r="H9" s="78"/>
      <c r="I9" s="76">
        <f>IF(I17=0, 0, I13/I17)</f>
        <v>0</v>
      </c>
      <c r="J9" s="77"/>
      <c r="K9" s="78"/>
    </row>
    <row r="10" spans="1:223" x14ac:dyDescent="0.2">
      <c r="A10" s="18"/>
      <c r="B10" s="19"/>
      <c r="C10" s="43" t="s">
        <v>16</v>
      </c>
      <c r="D10" s="44"/>
      <c r="E10" s="45"/>
      <c r="F10" s="79">
        <f>IF(F17=0, 0,(F17-F16)/F17)</f>
        <v>0</v>
      </c>
      <c r="G10" s="80"/>
      <c r="H10" s="81"/>
      <c r="I10" s="79">
        <f>IF(I17=0, 0,(I17-I16)/I17)</f>
        <v>0</v>
      </c>
      <c r="J10" s="80"/>
      <c r="K10" s="81"/>
    </row>
    <row r="11" spans="1:223" s="3" customFormat="1" x14ac:dyDescent="0.2">
      <c r="A11" s="22"/>
      <c r="B11" s="23"/>
      <c r="C11" s="61" t="s">
        <v>12</v>
      </c>
      <c r="D11" s="62"/>
      <c r="E11" s="63"/>
      <c r="F11" s="64">
        <f>IF((F13+F14+F15)=0,0,F13/(F13+F14+F15))</f>
        <v>0</v>
      </c>
      <c r="G11" s="65"/>
      <c r="H11" s="66"/>
      <c r="I11" s="64">
        <f>IF((I13+I14+I15)=0,0,I13/(I13+I14+I15))</f>
        <v>0</v>
      </c>
      <c r="J11" s="65"/>
      <c r="K11" s="66"/>
    </row>
    <row r="12" spans="1:223" s="4" customFormat="1" x14ac:dyDescent="0.2">
      <c r="B12" s="26"/>
      <c r="C12" s="67" t="s">
        <v>13</v>
      </c>
      <c r="D12" s="68"/>
      <c r="E12" s="69"/>
      <c r="F12" s="70">
        <f>IF((F13+F15)=0,0,F13/(F13+F15))</f>
        <v>0</v>
      </c>
      <c r="G12" s="71"/>
      <c r="H12" s="72"/>
      <c r="I12" s="70">
        <f>IF((I13+I15)=0,0,I13/(I13+I15))</f>
        <v>0</v>
      </c>
      <c r="J12" s="71"/>
      <c r="K12" s="72"/>
    </row>
    <row r="13" spans="1:223" x14ac:dyDescent="0.2">
      <c r="A13" s="18"/>
      <c r="B13" s="19"/>
      <c r="C13" s="43" t="s">
        <v>14</v>
      </c>
      <c r="D13" s="44"/>
      <c r="E13" s="45"/>
      <c r="F13" s="46">
        <f>COUNTIF(F20:F45,"=pass")</f>
        <v>0</v>
      </c>
      <c r="G13" s="47"/>
      <c r="H13" s="48"/>
      <c r="I13" s="46">
        <f>COUNTIF(I20:I45,"=pass")</f>
        <v>0</v>
      </c>
      <c r="J13" s="47"/>
      <c r="K13" s="48"/>
      <c r="HK13" t="s">
        <v>17</v>
      </c>
      <c r="HL13" t="s">
        <v>21</v>
      </c>
      <c r="HM13" t="s">
        <v>19</v>
      </c>
      <c r="HN13" t="s">
        <v>20</v>
      </c>
      <c r="HO13" t="s">
        <v>18</v>
      </c>
    </row>
    <row r="14" spans="1:223" x14ac:dyDescent="0.2">
      <c r="A14" s="18"/>
      <c r="B14" s="19"/>
      <c r="C14" s="43" t="s">
        <v>9</v>
      </c>
      <c r="D14" s="44"/>
      <c r="E14" s="45"/>
      <c r="F14" s="46">
        <f>COUNTIF(F20:F45,"=BLK")</f>
        <v>0</v>
      </c>
      <c r="G14" s="47"/>
      <c r="H14" s="48"/>
      <c r="I14" s="46">
        <f>COUNTIF(I20:I45,"=BLK")</f>
        <v>0</v>
      </c>
      <c r="J14" s="47"/>
      <c r="K14" s="48"/>
      <c r="HK14" t="s">
        <v>17</v>
      </c>
      <c r="HL14" t="s">
        <v>21</v>
      </c>
      <c r="HM14" t="s">
        <v>19</v>
      </c>
      <c r="HN14" t="s">
        <v>20</v>
      </c>
      <c r="HO14" t="s">
        <v>18</v>
      </c>
    </row>
    <row r="15" spans="1:223" x14ac:dyDescent="0.2">
      <c r="A15" s="18"/>
      <c r="B15" s="19"/>
      <c r="C15" s="43" t="s">
        <v>15</v>
      </c>
      <c r="D15" s="44"/>
      <c r="E15" s="45"/>
      <c r="F15" s="46">
        <f>COUNTIF(F20:F45,"=fail")</f>
        <v>0</v>
      </c>
      <c r="G15" s="47"/>
      <c r="H15" s="48"/>
      <c r="I15" s="46">
        <f>COUNTIF(I20:I45,"=fail")</f>
        <v>0</v>
      </c>
      <c r="J15" s="47"/>
      <c r="K15" s="48"/>
      <c r="HK15" t="s">
        <v>17</v>
      </c>
      <c r="HL15" t="s">
        <v>21</v>
      </c>
      <c r="HM15" t="s">
        <v>19</v>
      </c>
      <c r="HN15" t="s">
        <v>20</v>
      </c>
      <c r="HO15" t="s">
        <v>18</v>
      </c>
    </row>
    <row r="16" spans="1:223" x14ac:dyDescent="0.2">
      <c r="A16" s="18"/>
      <c r="B16" s="19"/>
      <c r="C16" s="43" t="s">
        <v>7</v>
      </c>
      <c r="D16" s="44"/>
      <c r="E16" s="45"/>
      <c r="F16" s="46">
        <f>COUNTIF(F20:F44,"=")+COUNTIF(F20:F44,"Not Run")</f>
        <v>25</v>
      </c>
      <c r="G16" s="47"/>
      <c r="H16" s="48"/>
      <c r="I16" s="46">
        <f>COUNTIF(I20:I44,"=")+COUNTIF(I20:I44,"Not Run")</f>
        <v>25</v>
      </c>
      <c r="J16" s="47"/>
      <c r="K16" s="48"/>
      <c r="HK16" t="s">
        <v>17</v>
      </c>
      <c r="HL16" t="s">
        <v>21</v>
      </c>
      <c r="HM16" t="s">
        <v>19</v>
      </c>
      <c r="HN16" t="s">
        <v>20</v>
      </c>
      <c r="HO16" t="s">
        <v>18</v>
      </c>
    </row>
    <row r="17" spans="1:223" ht="13.5" thickBot="1" x14ac:dyDescent="0.25">
      <c r="A17" s="24"/>
      <c r="B17" s="25"/>
      <c r="C17" s="55" t="s">
        <v>8</v>
      </c>
      <c r="D17" s="56"/>
      <c r="E17" s="57"/>
      <c r="F17" s="58">
        <f>COUNTA($C$20:$C$45)-COUNTIF(F20:F45,"=N/A")</f>
        <v>25</v>
      </c>
      <c r="G17" s="59"/>
      <c r="H17" s="60"/>
      <c r="I17" s="58">
        <f>COUNTA($C$20:$C$45)-COUNTIF(I20:I45,"=N/A")</f>
        <v>25</v>
      </c>
      <c r="J17" s="59"/>
      <c r="K17" s="60"/>
      <c r="HK17" t="s">
        <v>17</v>
      </c>
      <c r="HL17" t="s">
        <v>21</v>
      </c>
      <c r="HM17" t="s">
        <v>19</v>
      </c>
      <c r="HN17" t="s">
        <v>20</v>
      </c>
      <c r="HO17" t="s">
        <v>18</v>
      </c>
    </row>
    <row r="18" spans="1:223" ht="29.25" hidden="1" customHeight="1" x14ac:dyDescent="0.2">
      <c r="D18" s="2">
        <f>COUNTIF(D20:D44,"Y")</f>
        <v>0</v>
      </c>
      <c r="E18" s="2">
        <f>COUNTIF(E20:E44,"Y")</f>
        <v>0</v>
      </c>
      <c r="F18" s="1"/>
      <c r="G18" s="1"/>
      <c r="H18" s="1"/>
      <c r="I18" s="1"/>
      <c r="J18" s="1"/>
      <c r="K18" s="1"/>
    </row>
    <row r="19" spans="1:223" ht="24.75" customHeight="1" x14ac:dyDescent="0.2">
      <c r="A19" t="s">
        <v>23</v>
      </c>
      <c r="B19" t="s">
        <v>24</v>
      </c>
      <c r="C19" s="29" t="s">
        <v>26</v>
      </c>
      <c r="D19" s="29" t="s">
        <v>10</v>
      </c>
      <c r="E19" s="30" t="s">
        <v>10</v>
      </c>
      <c r="F19" s="31" t="s">
        <v>5</v>
      </c>
      <c r="G19" s="32" t="s">
        <v>22</v>
      </c>
      <c r="H19" s="33" t="s">
        <v>6</v>
      </c>
      <c r="I19" s="31" t="s">
        <v>5</v>
      </c>
      <c r="J19" s="32" t="s">
        <v>22</v>
      </c>
      <c r="K19" s="33" t="s">
        <v>6</v>
      </c>
      <c r="HK19" t="s">
        <v>17</v>
      </c>
      <c r="HL19" t="s">
        <v>21</v>
      </c>
      <c r="HM19" t="s">
        <v>19</v>
      </c>
      <c r="HN19" t="s">
        <v>20</v>
      </c>
      <c r="HO19" t="s">
        <v>18</v>
      </c>
    </row>
    <row r="20" spans="1:223" x14ac:dyDescent="0.2">
      <c r="A20" s="35" t="s">
        <v>25</v>
      </c>
      <c r="B20" s="35">
        <v>1</v>
      </c>
      <c r="C20" s="35" t="str">
        <f>CONCATENATE(A20,"-",B20)</f>
        <v>FN-1</v>
      </c>
      <c r="D20" s="36"/>
      <c r="E20" s="37"/>
      <c r="F20" s="38" t="s">
        <v>17</v>
      </c>
      <c r="G20" s="36"/>
      <c r="H20" s="39" t="s">
        <v>31</v>
      </c>
      <c r="I20" s="38" t="s">
        <v>17</v>
      </c>
      <c r="J20" s="36"/>
      <c r="K20" s="39" t="s">
        <v>31</v>
      </c>
      <c r="HK20" t="s">
        <v>17</v>
      </c>
      <c r="HL20" t="s">
        <v>21</v>
      </c>
      <c r="HM20" t="s">
        <v>19</v>
      </c>
      <c r="HN20" t="s">
        <v>20</v>
      </c>
      <c r="HO20" t="s">
        <v>18</v>
      </c>
    </row>
    <row r="21" spans="1:223" x14ac:dyDescent="0.2">
      <c r="A21" s="35" t="s">
        <v>25</v>
      </c>
      <c r="B21" s="35">
        <v>2</v>
      </c>
      <c r="C21" s="35" t="s">
        <v>32</v>
      </c>
      <c r="D21" s="36"/>
      <c r="E21" s="37"/>
      <c r="F21" s="38" t="s">
        <v>17</v>
      </c>
      <c r="G21" s="36"/>
      <c r="H21" s="39"/>
      <c r="I21" s="38" t="s">
        <v>17</v>
      </c>
      <c r="J21" s="36"/>
      <c r="K21" s="39"/>
    </row>
    <row r="22" spans="1:223" x14ac:dyDescent="0.2">
      <c r="A22" s="35" t="s">
        <v>25</v>
      </c>
      <c r="B22" s="35">
        <v>3</v>
      </c>
      <c r="C22" s="35" t="str">
        <f t="shared" ref="C22:C25" si="0">CONCATENATE(A22,"-",B22)</f>
        <v>FN-3</v>
      </c>
      <c r="D22" s="36"/>
      <c r="E22" s="35"/>
      <c r="F22" s="38" t="s">
        <v>17</v>
      </c>
      <c r="G22" s="36"/>
      <c r="H22" s="39" t="s">
        <v>31</v>
      </c>
      <c r="I22" s="38" t="s">
        <v>17</v>
      </c>
      <c r="J22" s="36"/>
      <c r="K22" s="39" t="s">
        <v>31</v>
      </c>
      <c r="HK22" t="s">
        <v>17</v>
      </c>
      <c r="HL22" t="s">
        <v>21</v>
      </c>
      <c r="HM22" t="s">
        <v>19</v>
      </c>
      <c r="HN22" t="s">
        <v>20</v>
      </c>
      <c r="HO22" t="s">
        <v>18</v>
      </c>
    </row>
    <row r="23" spans="1:223" x14ac:dyDescent="0.2">
      <c r="A23" s="35" t="s">
        <v>25</v>
      </c>
      <c r="B23" s="35">
        <v>4</v>
      </c>
      <c r="C23" s="35" t="s">
        <v>33</v>
      </c>
      <c r="D23" s="36"/>
      <c r="E23" s="35"/>
      <c r="F23" s="38" t="s">
        <v>17</v>
      </c>
      <c r="G23" s="36"/>
      <c r="H23" s="39"/>
      <c r="I23" s="38" t="s">
        <v>17</v>
      </c>
      <c r="J23" s="36"/>
      <c r="K23" s="39"/>
    </row>
    <row r="24" spans="1:223" x14ac:dyDescent="0.2">
      <c r="A24" s="35" t="s">
        <v>25</v>
      </c>
      <c r="B24" s="35">
        <v>5</v>
      </c>
      <c r="C24" s="35" t="s">
        <v>34</v>
      </c>
      <c r="D24" s="36"/>
      <c r="E24" s="35"/>
      <c r="F24" s="38" t="s">
        <v>17</v>
      </c>
      <c r="G24" s="36"/>
      <c r="H24" s="39"/>
      <c r="I24" s="38" t="s">
        <v>17</v>
      </c>
      <c r="J24" s="36"/>
      <c r="K24" s="39"/>
    </row>
    <row r="25" spans="1:223" x14ac:dyDescent="0.2">
      <c r="A25" s="35" t="s">
        <v>27</v>
      </c>
      <c r="B25" s="35">
        <v>1</v>
      </c>
      <c r="C25" s="35" t="str">
        <f t="shared" si="0"/>
        <v>US-1</v>
      </c>
      <c r="D25" s="36"/>
      <c r="E25" s="35"/>
      <c r="F25" s="38" t="s">
        <v>17</v>
      </c>
      <c r="G25" s="36"/>
      <c r="H25" s="39"/>
      <c r="I25" s="38" t="s">
        <v>17</v>
      </c>
      <c r="J25" s="36"/>
      <c r="K25" s="39"/>
      <c r="HK25" t="s">
        <v>17</v>
      </c>
      <c r="HL25" t="s">
        <v>21</v>
      </c>
      <c r="HM25" t="s">
        <v>19</v>
      </c>
      <c r="HN25" t="s">
        <v>20</v>
      </c>
      <c r="HO25" t="s">
        <v>18</v>
      </c>
    </row>
    <row r="26" spans="1:223" x14ac:dyDescent="0.2">
      <c r="A26" s="35" t="s">
        <v>27</v>
      </c>
      <c r="B26" s="35">
        <v>2</v>
      </c>
      <c r="C26" s="35" t="s">
        <v>35</v>
      </c>
      <c r="D26" s="36"/>
      <c r="E26" s="35"/>
      <c r="F26" s="38" t="s">
        <v>17</v>
      </c>
      <c r="G26" s="36"/>
      <c r="H26" s="39"/>
      <c r="I26" s="38" t="s">
        <v>17</v>
      </c>
      <c r="J26" s="36"/>
      <c r="K26" s="39"/>
    </row>
    <row r="27" spans="1:223" x14ac:dyDescent="0.2">
      <c r="A27" s="35" t="s">
        <v>27</v>
      </c>
      <c r="B27" s="35">
        <v>3</v>
      </c>
      <c r="C27" s="35" t="s">
        <v>36</v>
      </c>
      <c r="D27" s="36"/>
      <c r="E27" s="35"/>
      <c r="F27" s="38" t="s">
        <v>17</v>
      </c>
      <c r="G27" s="36"/>
      <c r="H27" s="39"/>
      <c r="I27" s="38" t="s">
        <v>17</v>
      </c>
      <c r="J27" s="36"/>
      <c r="K27" s="39"/>
    </row>
    <row r="28" spans="1:223" x14ac:dyDescent="0.2">
      <c r="A28" s="35" t="s">
        <v>27</v>
      </c>
      <c r="B28" s="35">
        <v>4</v>
      </c>
      <c r="C28" s="35" t="s">
        <v>37</v>
      </c>
      <c r="D28" s="36"/>
      <c r="E28" s="35"/>
      <c r="F28" s="38" t="s">
        <v>17</v>
      </c>
      <c r="G28" s="36"/>
      <c r="H28" s="39"/>
      <c r="I28" s="38" t="s">
        <v>17</v>
      </c>
      <c r="J28" s="36"/>
      <c r="K28" s="39"/>
    </row>
    <row r="29" spans="1:223" x14ac:dyDescent="0.2">
      <c r="A29" s="35" t="s">
        <v>27</v>
      </c>
      <c r="B29" s="35">
        <v>5</v>
      </c>
      <c r="C29" s="35" t="str">
        <f>CONCATENATE(A29,"-",B29)</f>
        <v>US-5</v>
      </c>
      <c r="D29" s="36"/>
      <c r="E29" s="35"/>
      <c r="F29" s="38" t="s">
        <v>17</v>
      </c>
      <c r="G29" s="36"/>
      <c r="H29" s="39"/>
      <c r="I29" s="38" t="s">
        <v>17</v>
      </c>
      <c r="J29" s="36"/>
      <c r="K29" s="39"/>
      <c r="HK29" t="s">
        <v>17</v>
      </c>
      <c r="HL29" t="s">
        <v>21</v>
      </c>
      <c r="HM29" t="s">
        <v>19</v>
      </c>
      <c r="HN29" t="s">
        <v>20</v>
      </c>
      <c r="HO29" t="s">
        <v>18</v>
      </c>
    </row>
    <row r="30" spans="1:223" x14ac:dyDescent="0.2">
      <c r="A30" s="35" t="s">
        <v>28</v>
      </c>
      <c r="B30" s="35">
        <v>1</v>
      </c>
      <c r="C30" s="35" t="str">
        <f>CONCATENATE(A30,"-",B30)</f>
        <v>CO-1</v>
      </c>
      <c r="D30" s="36"/>
      <c r="E30" s="35"/>
      <c r="F30" s="38" t="s">
        <v>17</v>
      </c>
      <c r="G30" s="36"/>
      <c r="H30" s="39"/>
      <c r="I30" s="38" t="s">
        <v>17</v>
      </c>
      <c r="J30" s="36"/>
      <c r="K30" s="39"/>
      <c r="HK30" t="s">
        <v>17</v>
      </c>
      <c r="HL30" t="s">
        <v>21</v>
      </c>
      <c r="HM30" t="s">
        <v>19</v>
      </c>
      <c r="HN30" t="s">
        <v>20</v>
      </c>
      <c r="HO30" t="s">
        <v>18</v>
      </c>
    </row>
    <row r="31" spans="1:223" x14ac:dyDescent="0.2">
      <c r="A31" s="35" t="s">
        <v>28</v>
      </c>
      <c r="B31" s="35">
        <v>2</v>
      </c>
      <c r="C31" s="35" t="s">
        <v>38</v>
      </c>
      <c r="D31" s="36"/>
      <c r="E31" s="35"/>
      <c r="F31" s="38" t="s">
        <v>17</v>
      </c>
      <c r="G31" s="36"/>
      <c r="H31" s="39"/>
      <c r="I31" s="38" t="s">
        <v>17</v>
      </c>
      <c r="J31" s="36"/>
      <c r="K31" s="39"/>
    </row>
    <row r="32" spans="1:223" x14ac:dyDescent="0.2">
      <c r="A32" s="35" t="s">
        <v>28</v>
      </c>
      <c r="B32" s="35">
        <v>3</v>
      </c>
      <c r="C32" s="35" t="s">
        <v>39</v>
      </c>
      <c r="D32" s="36"/>
      <c r="E32" s="35"/>
      <c r="F32" s="38" t="s">
        <v>17</v>
      </c>
      <c r="G32" s="36"/>
      <c r="H32" s="39"/>
      <c r="I32" s="38" t="s">
        <v>17</v>
      </c>
      <c r="J32" s="36"/>
      <c r="K32" s="39"/>
    </row>
    <row r="33" spans="1:223" x14ac:dyDescent="0.2">
      <c r="A33" s="35" t="s">
        <v>28</v>
      </c>
      <c r="B33" s="35">
        <v>4</v>
      </c>
      <c r="C33" s="35" t="s">
        <v>40</v>
      </c>
      <c r="D33" s="36"/>
      <c r="E33" s="35"/>
      <c r="F33" s="38" t="s">
        <v>17</v>
      </c>
      <c r="G33" s="36"/>
      <c r="H33" s="39"/>
      <c r="I33" s="38" t="s">
        <v>17</v>
      </c>
      <c r="J33" s="36"/>
      <c r="K33" s="39"/>
    </row>
    <row r="34" spans="1:223" x14ac:dyDescent="0.2">
      <c r="A34" s="35" t="s">
        <v>28</v>
      </c>
      <c r="B34" s="35">
        <v>5</v>
      </c>
      <c r="C34" s="35" t="str">
        <f>CONCATENATE(A34,"-",B34)</f>
        <v>CO-5</v>
      </c>
      <c r="D34" s="36"/>
      <c r="E34" s="35"/>
      <c r="F34" s="38" t="s">
        <v>17</v>
      </c>
      <c r="G34" s="36"/>
      <c r="H34" s="39"/>
      <c r="I34" s="38" t="s">
        <v>17</v>
      </c>
      <c r="J34" s="36"/>
      <c r="K34" s="39"/>
      <c r="HK34" t="s">
        <v>17</v>
      </c>
      <c r="HL34" t="s">
        <v>21</v>
      </c>
      <c r="HM34" t="s">
        <v>19</v>
      </c>
      <c r="HN34" t="s">
        <v>20</v>
      </c>
      <c r="HO34" t="s">
        <v>18</v>
      </c>
    </row>
    <row r="35" spans="1:223" x14ac:dyDescent="0.2">
      <c r="A35" s="35" t="s">
        <v>29</v>
      </c>
      <c r="B35" s="35">
        <v>1</v>
      </c>
      <c r="C35" s="35" t="s">
        <v>41</v>
      </c>
      <c r="D35" s="36"/>
      <c r="E35" s="35"/>
      <c r="F35" s="38" t="s">
        <v>17</v>
      </c>
      <c r="G35" s="36"/>
      <c r="H35" s="39"/>
      <c r="I35" s="38" t="s">
        <v>17</v>
      </c>
      <c r="J35" s="36"/>
      <c r="K35" s="39"/>
    </row>
    <row r="36" spans="1:223" x14ac:dyDescent="0.2">
      <c r="A36" s="35" t="s">
        <v>29</v>
      </c>
      <c r="B36" s="35">
        <v>2</v>
      </c>
      <c r="C36" s="35" t="s">
        <v>42</v>
      </c>
      <c r="D36" s="36"/>
      <c r="E36" s="35"/>
      <c r="F36" s="38" t="s">
        <v>17</v>
      </c>
      <c r="G36" s="36"/>
      <c r="H36" s="39"/>
      <c r="I36" s="38" t="s">
        <v>17</v>
      </c>
      <c r="J36" s="36"/>
      <c r="K36" s="39"/>
    </row>
    <row r="37" spans="1:223" x14ac:dyDescent="0.2">
      <c r="A37" s="35" t="s">
        <v>29</v>
      </c>
      <c r="B37" s="35">
        <v>3</v>
      </c>
      <c r="C37" s="35" t="s">
        <v>43</v>
      </c>
      <c r="D37" s="36"/>
      <c r="E37" s="35"/>
      <c r="F37" s="38" t="s">
        <v>17</v>
      </c>
      <c r="G37" s="36"/>
      <c r="H37" s="39"/>
      <c r="I37" s="38" t="s">
        <v>17</v>
      </c>
      <c r="J37" s="36"/>
      <c r="K37" s="39"/>
    </row>
    <row r="38" spans="1:223" x14ac:dyDescent="0.2">
      <c r="A38" s="35" t="s">
        <v>29</v>
      </c>
      <c r="B38" s="35">
        <v>4</v>
      </c>
      <c r="C38" s="35" t="str">
        <f t="shared" ref="C38:C44" si="1">CONCATENATE(A38,"-",B38)</f>
        <v>SE-4</v>
      </c>
      <c r="D38" s="36"/>
      <c r="E38" s="35"/>
      <c r="F38" s="38" t="s">
        <v>17</v>
      </c>
      <c r="G38" s="36"/>
      <c r="H38" s="39"/>
      <c r="I38" s="38" t="s">
        <v>17</v>
      </c>
      <c r="J38" s="36"/>
      <c r="K38" s="39"/>
      <c r="HK38" t="s">
        <v>17</v>
      </c>
      <c r="HL38" t="s">
        <v>21</v>
      </c>
      <c r="HM38" t="s">
        <v>19</v>
      </c>
      <c r="HN38" t="s">
        <v>20</v>
      </c>
      <c r="HO38" t="s">
        <v>18</v>
      </c>
    </row>
    <row r="39" spans="1:223" x14ac:dyDescent="0.2">
      <c r="A39" s="35" t="s">
        <v>29</v>
      </c>
      <c r="B39" s="35">
        <v>5</v>
      </c>
      <c r="C39" s="35" t="str">
        <f t="shared" si="1"/>
        <v>SE-5</v>
      </c>
      <c r="D39" s="36"/>
      <c r="E39" s="35"/>
      <c r="F39" s="38" t="s">
        <v>17</v>
      </c>
      <c r="G39" s="36"/>
      <c r="H39" s="39"/>
      <c r="I39" s="38" t="s">
        <v>17</v>
      </c>
      <c r="J39" s="36"/>
      <c r="K39" s="39"/>
      <c r="HK39" t="s">
        <v>17</v>
      </c>
      <c r="HL39" t="s">
        <v>21</v>
      </c>
      <c r="HM39" t="s">
        <v>19</v>
      </c>
      <c r="HN39" t="s">
        <v>20</v>
      </c>
      <c r="HO39" t="s">
        <v>18</v>
      </c>
    </row>
    <row r="40" spans="1:223" x14ac:dyDescent="0.2">
      <c r="A40" s="35" t="s">
        <v>30</v>
      </c>
      <c r="B40" s="35">
        <v>1</v>
      </c>
      <c r="C40" s="35" t="str">
        <f t="shared" si="1"/>
        <v>BC-1</v>
      </c>
      <c r="D40" s="36"/>
      <c r="E40" s="35"/>
      <c r="F40" s="38" t="s">
        <v>17</v>
      </c>
      <c r="G40" s="36"/>
      <c r="H40" s="39"/>
      <c r="I40" s="38" t="s">
        <v>17</v>
      </c>
      <c r="J40" s="36"/>
      <c r="K40" s="39"/>
      <c r="HK40" t="s">
        <v>17</v>
      </c>
      <c r="HL40" t="s">
        <v>21</v>
      </c>
      <c r="HM40" t="s">
        <v>19</v>
      </c>
      <c r="HN40" t="s">
        <v>20</v>
      </c>
      <c r="HO40" t="s">
        <v>18</v>
      </c>
    </row>
    <row r="41" spans="1:223" x14ac:dyDescent="0.2">
      <c r="A41" s="35" t="s">
        <v>30</v>
      </c>
      <c r="B41" s="35">
        <v>2</v>
      </c>
      <c r="C41" s="35" t="str">
        <f t="shared" si="1"/>
        <v>BC-2</v>
      </c>
      <c r="D41" s="36"/>
      <c r="E41" s="35"/>
      <c r="F41" s="38" t="s">
        <v>17</v>
      </c>
      <c r="G41" s="36"/>
      <c r="H41" s="39"/>
      <c r="I41" s="38" t="s">
        <v>17</v>
      </c>
      <c r="J41" s="36"/>
      <c r="K41" s="39"/>
      <c r="HK41" t="s">
        <v>17</v>
      </c>
      <c r="HL41" t="s">
        <v>21</v>
      </c>
      <c r="HM41" t="s">
        <v>19</v>
      </c>
      <c r="HN41" t="s">
        <v>20</v>
      </c>
      <c r="HO41" t="s">
        <v>18</v>
      </c>
    </row>
    <row r="42" spans="1:223" x14ac:dyDescent="0.2">
      <c r="A42" s="35" t="s">
        <v>30</v>
      </c>
      <c r="B42" s="35">
        <v>3</v>
      </c>
      <c r="C42" s="35" t="str">
        <f t="shared" si="1"/>
        <v>BC-3</v>
      </c>
      <c r="D42" s="36"/>
      <c r="E42" s="35"/>
      <c r="F42" s="38" t="s">
        <v>17</v>
      </c>
      <c r="G42" s="36"/>
      <c r="H42" s="39"/>
      <c r="I42" s="38" t="s">
        <v>17</v>
      </c>
      <c r="J42" s="36"/>
      <c r="K42" s="39"/>
      <c r="HK42" t="s">
        <v>17</v>
      </c>
      <c r="HL42" t="s">
        <v>21</v>
      </c>
      <c r="HM42" t="s">
        <v>19</v>
      </c>
      <c r="HN42" t="s">
        <v>20</v>
      </c>
      <c r="HO42" t="s">
        <v>18</v>
      </c>
    </row>
    <row r="43" spans="1:223" x14ac:dyDescent="0.2">
      <c r="A43" s="35" t="s">
        <v>30</v>
      </c>
      <c r="B43" s="35">
        <v>4</v>
      </c>
      <c r="C43" s="35" t="str">
        <f t="shared" si="1"/>
        <v>BC-4</v>
      </c>
      <c r="D43" s="36"/>
      <c r="E43" s="35"/>
      <c r="F43" s="38" t="s">
        <v>17</v>
      </c>
      <c r="G43" s="36"/>
      <c r="H43" s="39"/>
      <c r="I43" s="38" t="s">
        <v>17</v>
      </c>
      <c r="J43" s="36"/>
      <c r="K43" s="39"/>
      <c r="HK43" t="s">
        <v>17</v>
      </c>
      <c r="HL43" t="s">
        <v>21</v>
      </c>
      <c r="HM43" t="s">
        <v>19</v>
      </c>
      <c r="HN43" t="s">
        <v>20</v>
      </c>
      <c r="HO43" t="s">
        <v>18</v>
      </c>
    </row>
    <row r="44" spans="1:223" ht="13.5" thickBot="1" x14ac:dyDescent="0.25">
      <c r="A44" s="35" t="s">
        <v>30</v>
      </c>
      <c r="B44" s="35">
        <v>5</v>
      </c>
      <c r="C44" s="35" t="str">
        <f t="shared" si="1"/>
        <v>BC-5</v>
      </c>
      <c r="D44" s="36"/>
      <c r="E44" s="35"/>
      <c r="F44" s="40" t="s">
        <v>17</v>
      </c>
      <c r="G44" s="41"/>
      <c r="H44" s="42"/>
      <c r="I44" s="40" t="s">
        <v>17</v>
      </c>
      <c r="J44" s="41"/>
      <c r="K44" s="42"/>
      <c r="HK44" t="s">
        <v>17</v>
      </c>
      <c r="HL44" t="s">
        <v>21</v>
      </c>
      <c r="HM44" t="s">
        <v>19</v>
      </c>
      <c r="HN44" t="s">
        <v>20</v>
      </c>
      <c r="HO44" t="s">
        <v>18</v>
      </c>
    </row>
    <row r="45" spans="1:223" ht="13.5" thickBot="1" x14ac:dyDescent="0.25">
      <c r="C45" s="15"/>
      <c r="D45" s="7"/>
      <c r="E45" s="15"/>
      <c r="F45" s="34"/>
      <c r="G45" s="5"/>
      <c r="H45" s="6"/>
      <c r="I45" s="34"/>
      <c r="J45" s="5"/>
      <c r="K45" s="6"/>
      <c r="HK45" t="s">
        <v>17</v>
      </c>
      <c r="HL45" t="s">
        <v>21</v>
      </c>
      <c r="HM45" t="s">
        <v>19</v>
      </c>
      <c r="HN45" t="s">
        <v>20</v>
      </c>
      <c r="HO45" t="s">
        <v>18</v>
      </c>
    </row>
    <row r="46" spans="1:223" x14ac:dyDescent="0.2">
      <c r="D46" s="8"/>
      <c r="HK46" t="s">
        <v>17</v>
      </c>
      <c r="HL46" t="s">
        <v>21</v>
      </c>
      <c r="HM46" t="s">
        <v>19</v>
      </c>
      <c r="HN46" t="s">
        <v>20</v>
      </c>
      <c r="HO46" t="s">
        <v>18</v>
      </c>
    </row>
    <row r="47" spans="1:223" ht="27" customHeight="1" x14ac:dyDescent="0.2">
      <c r="C47" s="49"/>
      <c r="D47" s="50"/>
      <c r="E47" s="50"/>
      <c r="F47" s="50"/>
      <c r="G47" s="50"/>
      <c r="H47" s="50"/>
      <c r="I47" s="50"/>
      <c r="J47" s="50"/>
      <c r="K47" s="51"/>
      <c r="HK47" t="s">
        <v>17</v>
      </c>
      <c r="HL47" t="s">
        <v>21</v>
      </c>
      <c r="HM47" t="s">
        <v>19</v>
      </c>
      <c r="HN47" t="s">
        <v>20</v>
      </c>
      <c r="HO47" t="s">
        <v>18</v>
      </c>
    </row>
    <row r="48" spans="1:223" x14ac:dyDescent="0.2">
      <c r="C48" s="10"/>
      <c r="D48" s="11"/>
      <c r="E48" s="12"/>
      <c r="F48" s="13"/>
      <c r="G48" s="13"/>
      <c r="H48" s="13"/>
      <c r="I48" s="13"/>
      <c r="J48" s="13"/>
      <c r="K48" s="14"/>
      <c r="HK48" t="s">
        <v>17</v>
      </c>
      <c r="HL48" t="s">
        <v>21</v>
      </c>
      <c r="HM48" t="s">
        <v>19</v>
      </c>
      <c r="HN48" t="s">
        <v>20</v>
      </c>
      <c r="HO48" t="s">
        <v>18</v>
      </c>
    </row>
    <row r="49" spans="3:223" x14ac:dyDescent="0.2">
      <c r="C49" s="52"/>
      <c r="D49" s="53"/>
      <c r="E49" s="53"/>
      <c r="F49" s="53"/>
      <c r="G49" s="53"/>
      <c r="H49" s="53"/>
      <c r="I49" s="53"/>
      <c r="J49" s="53"/>
      <c r="K49" s="54"/>
      <c r="HK49" t="s">
        <v>17</v>
      </c>
      <c r="HL49" t="s">
        <v>21</v>
      </c>
      <c r="HM49" t="s">
        <v>19</v>
      </c>
      <c r="HN49" t="s">
        <v>20</v>
      </c>
      <c r="HO49" t="s">
        <v>18</v>
      </c>
    </row>
    <row r="50" spans="3:223" x14ac:dyDescent="0.2">
      <c r="D50" s="8"/>
    </row>
    <row r="51" spans="3:223" x14ac:dyDescent="0.2">
      <c r="D51" s="8"/>
    </row>
    <row r="52" spans="3:223" x14ac:dyDescent="0.2">
      <c r="D52" s="8"/>
    </row>
    <row r="53" spans="3:223" x14ac:dyDescent="0.2">
      <c r="D53" s="8"/>
    </row>
    <row r="54" spans="3:223" x14ac:dyDescent="0.2">
      <c r="D54" s="8"/>
    </row>
    <row r="55" spans="3:223" x14ac:dyDescent="0.2">
      <c r="D55" s="8"/>
    </row>
    <row r="56" spans="3:223" x14ac:dyDescent="0.2">
      <c r="D56" s="8"/>
    </row>
    <row r="57" spans="3:223" x14ac:dyDescent="0.2">
      <c r="D57" s="8"/>
    </row>
    <row r="58" spans="3:223" x14ac:dyDescent="0.2">
      <c r="D58" s="8"/>
    </row>
    <row r="59" spans="3:223" x14ac:dyDescent="0.2">
      <c r="D59" s="8"/>
    </row>
    <row r="60" spans="3:223" x14ac:dyDescent="0.2">
      <c r="D60" s="8"/>
    </row>
    <row r="61" spans="3:223" x14ac:dyDescent="0.2">
      <c r="D61" s="8"/>
    </row>
    <row r="62" spans="3:223" x14ac:dyDescent="0.2">
      <c r="D62" s="8"/>
    </row>
    <row r="63" spans="3:223" x14ac:dyDescent="0.2">
      <c r="D63" s="8"/>
    </row>
    <row r="64" spans="3:223" x14ac:dyDescent="0.2">
      <c r="D64" s="8"/>
    </row>
    <row r="65" spans="4:4" x14ac:dyDescent="0.2">
      <c r="D65" s="8"/>
    </row>
    <row r="66" spans="4:4" x14ac:dyDescent="0.2">
      <c r="D66" s="8"/>
    </row>
    <row r="67" spans="4:4" x14ac:dyDescent="0.2">
      <c r="D67" s="8"/>
    </row>
    <row r="68" spans="4:4" x14ac:dyDescent="0.2">
      <c r="D68" s="8"/>
    </row>
    <row r="69" spans="4:4" x14ac:dyDescent="0.2">
      <c r="D69" s="8"/>
    </row>
    <row r="70" spans="4:4" x14ac:dyDescent="0.2">
      <c r="D70" s="8"/>
    </row>
    <row r="71" spans="4:4" x14ac:dyDescent="0.2">
      <c r="D71" s="8"/>
    </row>
  </sheetData>
  <mergeCells count="41">
    <mergeCell ref="C1:E1"/>
    <mergeCell ref="C2:E2"/>
    <mergeCell ref="C3:E3"/>
    <mergeCell ref="C5:E5"/>
    <mergeCell ref="F5:H5"/>
    <mergeCell ref="I5:K5"/>
    <mergeCell ref="C6:E6"/>
    <mergeCell ref="F6:H6"/>
    <mergeCell ref="I6:K6"/>
    <mergeCell ref="C7:E7"/>
    <mergeCell ref="F7:H7"/>
    <mergeCell ref="I7:K7"/>
    <mergeCell ref="C9:E9"/>
    <mergeCell ref="F9:H9"/>
    <mergeCell ref="I9:K9"/>
    <mergeCell ref="C10:E10"/>
    <mergeCell ref="F10:H10"/>
    <mergeCell ref="I10:K10"/>
    <mergeCell ref="C11:E11"/>
    <mergeCell ref="F11:H11"/>
    <mergeCell ref="I11:K11"/>
    <mergeCell ref="C12:E12"/>
    <mergeCell ref="F12:H12"/>
    <mergeCell ref="I12:K12"/>
    <mergeCell ref="C13:E13"/>
    <mergeCell ref="F13:H13"/>
    <mergeCell ref="I13:K13"/>
    <mergeCell ref="C14:E14"/>
    <mergeCell ref="F14:H14"/>
    <mergeCell ref="I14:K14"/>
    <mergeCell ref="C15:E15"/>
    <mergeCell ref="F15:H15"/>
    <mergeCell ref="I15:K15"/>
    <mergeCell ref="C47:K47"/>
    <mergeCell ref="C49:K49"/>
    <mergeCell ref="C16:E16"/>
    <mergeCell ref="F16:H16"/>
    <mergeCell ref="I16:K16"/>
    <mergeCell ref="C17:E17"/>
    <mergeCell ref="F17:H17"/>
    <mergeCell ref="I17:K17"/>
  </mergeCells>
  <conditionalFormatting sqref="G45 J45">
    <cfRule type="expression" dxfId="13" priority="7" stopIfTrue="1">
      <formula>F45="fail"</formula>
    </cfRule>
    <cfRule type="expression" dxfId="12" priority="8" stopIfTrue="1">
      <formula>F45="BLK"</formula>
    </cfRule>
  </conditionalFormatting>
  <conditionalFormatting sqref="H45 K45">
    <cfRule type="expression" dxfId="11" priority="9" stopIfTrue="1">
      <formula>F45="fail"</formula>
    </cfRule>
    <cfRule type="expression" dxfId="10" priority="10" stopIfTrue="1">
      <formula>F45="BLK"</formula>
    </cfRule>
  </conditionalFormatting>
  <conditionalFormatting sqref="F45 I45">
    <cfRule type="cellIs" dxfId="9" priority="11" stopIfTrue="1" operator="equal">
      <formula>"fail"</formula>
    </cfRule>
    <cfRule type="cellIs" dxfId="8" priority="12" stopIfTrue="1" operator="equal">
      <formula>"BLK"</formula>
    </cfRule>
  </conditionalFormatting>
  <conditionalFormatting sqref="I19:I44 C19:F44">
    <cfRule type="cellIs" dxfId="7" priority="13" stopIfTrue="1" operator="equal">
      <formula>"fail"</formula>
    </cfRule>
    <cfRule type="cellIs" dxfId="6" priority="14" stopIfTrue="1" operator="equal">
      <formula>"CNP"</formula>
    </cfRule>
  </conditionalFormatting>
  <conditionalFormatting sqref="J45">
    <cfRule type="expression" dxfId="5" priority="1" stopIfTrue="1">
      <formula>I45="fail"</formula>
    </cfRule>
    <cfRule type="expression" dxfId="4" priority="2" stopIfTrue="1">
      <formula>I45="BLK"</formula>
    </cfRule>
  </conditionalFormatting>
  <conditionalFormatting sqref="K45">
    <cfRule type="expression" dxfId="3" priority="3" stopIfTrue="1">
      <formula>I45="fail"</formula>
    </cfRule>
    <cfRule type="expression" dxfId="2" priority="4" stopIfTrue="1">
      <formula>I45="BLK"</formula>
    </cfRule>
  </conditionalFormatting>
  <conditionalFormatting sqref="I45">
    <cfRule type="cellIs" dxfId="1" priority="5" stopIfTrue="1" operator="equal">
      <formula>"fail"</formula>
    </cfRule>
    <cfRule type="cellIs" dxfId="0" priority="6" stopIfTrue="1" operator="equal">
      <formula>"BLK"</formula>
    </cfRule>
  </conditionalFormatting>
  <dataValidations count="3">
    <dataValidation type="list" allowBlank="1" showInputMessage="1" showErrorMessage="1" sqref="D20:E44">
      <formula1>"Y,N"</formula1>
    </dataValidation>
    <dataValidation type="list" allowBlank="1" showInputMessage="1" showErrorMessage="1" sqref="I20:I44 F20:F44">
      <formula1>"PASS,FAIL,BLK,N/A,Not Run"</formula1>
    </dataValidation>
    <dataValidation type="list" allowBlank="1" showInputMessage="1" showErrorMessage="1" sqref="F45 I45">
      <formula1>"pass, BLK, fail, N/A"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Solace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 Richard</dc:creator>
  <cp:lastModifiedBy>Admin lab</cp:lastModifiedBy>
  <cp:lastPrinted>2011-11-10T19:10:39Z</cp:lastPrinted>
  <dcterms:created xsi:type="dcterms:W3CDTF">2004-12-23T18:41:02Z</dcterms:created>
  <dcterms:modified xsi:type="dcterms:W3CDTF">2018-04-11T15:43:59Z</dcterms:modified>
</cp:coreProperties>
</file>